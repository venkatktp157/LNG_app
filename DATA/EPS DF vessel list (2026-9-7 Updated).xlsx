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easternpacific-my.sharepoint.com/personal/hanseung_lim_epshipping_com_sg1/Documents/Desktop/Volteo/Bunkering log for Volteo/"/>
    </mc:Choice>
  </mc:AlternateContent>
  <xr:revisionPtr revIDLastSave="0" documentId="8_{118128A5-AB30-4B31-937E-462D1DB01127}" xr6:coauthVersionLast="47" xr6:coauthVersionMax="47" xr10:uidLastSave="{00000000-0000-0000-0000-000000000000}"/>
  <bookViews>
    <workbookView xWindow="-57720" yWindow="-120" windowWidth="29040" windowHeight="15720" xr2:uid="{75D6EE2B-DFBC-4456-AD1D-576A3F0919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" l="1"/>
  <c r="R23" i="1"/>
  <c r="R24" i="1"/>
  <c r="S23" i="1" l="1"/>
</calcChain>
</file>

<file path=xl/sharedStrings.xml><?xml version="1.0" encoding="utf-8"?>
<sst xmlns="http://schemas.openxmlformats.org/spreadsheetml/2006/main" count="145" uniqueCount="144">
  <si>
    <t>Container</t>
  </si>
  <si>
    <t>Bulk</t>
  </si>
  <si>
    <t>Tanker</t>
  </si>
  <si>
    <t>PCTC</t>
  </si>
  <si>
    <t>CMA Container</t>
  </si>
  <si>
    <t>ZIM</t>
  </si>
  <si>
    <t>Crowley</t>
  </si>
  <si>
    <t>8400TEU</t>
  </si>
  <si>
    <t>18000TEU</t>
  </si>
  <si>
    <t>209K</t>
  </si>
  <si>
    <t>210K - NTS</t>
  </si>
  <si>
    <t>210K - CSSC</t>
  </si>
  <si>
    <t>110K</t>
  </si>
  <si>
    <t>111K</t>
  </si>
  <si>
    <t>158K</t>
  </si>
  <si>
    <t>155K</t>
  </si>
  <si>
    <t>157K</t>
  </si>
  <si>
    <t>PCTC 7K</t>
  </si>
  <si>
    <t>PCTC 5.5K</t>
  </si>
  <si>
    <t>CMA CGM TENERE</t>
  </si>
  <si>
    <t>ZIM ARIES</t>
  </si>
  <si>
    <t>QUETZAL</t>
  </si>
  <si>
    <t>CMA CGM ATLANTIC</t>
  </si>
  <si>
    <t>CMA CGM LOTUS</t>
  </si>
  <si>
    <t>MOUNT TOURMALINE</t>
  </si>
  <si>
    <t>MOUNT AMELIOR</t>
  </si>
  <si>
    <t>MOUNT ASAHI</t>
  </si>
  <si>
    <t>ATLANTIC EMERALD</t>
  </si>
  <si>
    <t>ATLANTIC PEARL</t>
  </si>
  <si>
    <t>GREENWAY</t>
  </si>
  <si>
    <t>PATHWAY</t>
  </si>
  <si>
    <t>HL-T157K-1</t>
  </si>
  <si>
    <t>LAKE HERMAN</t>
  </si>
  <si>
    <t>RS Atlántico</t>
  </si>
  <si>
    <t>CMIZ-C260715</t>
  </si>
  <si>
    <t>CMA CGM SCANDOLA</t>
  </si>
  <si>
    <t>ZIM GEMINI</t>
  </si>
  <si>
    <t>COPAN</t>
  </si>
  <si>
    <t>CMA CGM INDIAN</t>
  </si>
  <si>
    <t>CMA CGM MAGNOLIA</t>
  </si>
  <si>
    <t>MOUNT NOVATERRA</t>
  </si>
  <si>
    <t>MOUNT JADEITE</t>
  </si>
  <si>
    <t>MOUNT KITA</t>
  </si>
  <si>
    <t>ATLANTIC JADE</t>
  </si>
  <si>
    <t>ATLANTIC TOPAZ</t>
  </si>
  <si>
    <t>STARWAY</t>
  </si>
  <si>
    <t>SEGWAY</t>
  </si>
  <si>
    <t>HL-T157K-2</t>
  </si>
  <si>
    <t>LAKE ANNECY</t>
  </si>
  <si>
    <t>CMA CGM LAGUNA SECA</t>
  </si>
  <si>
    <t>CMIZ-C260716</t>
  </si>
  <si>
    <t>CMA CGM IGUACU</t>
  </si>
  <si>
    <t>ZIM SCORPIO</t>
  </si>
  <si>
    <t>TISCAPA</t>
  </si>
  <si>
    <t>CMA CGM PACIFIC</t>
  </si>
  <si>
    <t>CMA CGM MIMOSA</t>
  </si>
  <si>
    <t>MOUNT GAEA</t>
  </si>
  <si>
    <t>MOUNT VICTORIA</t>
  </si>
  <si>
    <t>ATLANTIC AMBER</t>
  </si>
  <si>
    <t>RIDGEWAY</t>
  </si>
  <si>
    <t>HL-T157K-3</t>
  </si>
  <si>
    <t>CMA CGM INDIANAPOLIS</t>
  </si>
  <si>
    <t>CMA CGM SUZUKA</t>
  </si>
  <si>
    <t>CMIZ-C260717</t>
  </si>
  <si>
    <t>CMA CGM BALI</t>
  </si>
  <si>
    <t>TOROGOZ</t>
  </si>
  <si>
    <t>CMA CGM AUSTRAL</t>
  </si>
  <si>
    <t>CMA CGM ORCHID</t>
  </si>
  <si>
    <t>MOUNT ANETO</t>
  </si>
  <si>
    <t>MOUNT YULONG</t>
  </si>
  <si>
    <t>ATLANTIC RUBY</t>
  </si>
  <si>
    <t>HL-T157K-4</t>
  </si>
  <si>
    <t>CMA CGM MONACO</t>
  </si>
  <si>
    <t>RS Galicia</t>
  </si>
  <si>
    <t>CMIZ-E260703</t>
  </si>
  <si>
    <t>CMA CGM SYMI</t>
  </si>
  <si>
    <t>CMA CGM TULIP</t>
  </si>
  <si>
    <t>MOUNT ARARAT</t>
  </si>
  <si>
    <t>MOUNT WUYI</t>
  </si>
  <si>
    <t>ATLANTIC CORAL</t>
  </si>
  <si>
    <t>HL-T157K-8</t>
  </si>
  <si>
    <t>CMA CGM DAYTONA</t>
  </si>
  <si>
    <t>LAKE ARENAL</t>
  </si>
  <si>
    <t>CMIZ-E260704</t>
  </si>
  <si>
    <t>CMA CGM ARCTIC</t>
  </si>
  <si>
    <t>CMA CGM PRIMROSE</t>
  </si>
  <si>
    <t>MOUNT API</t>
  </si>
  <si>
    <t>MOUNT KAWAGEBO</t>
  </si>
  <si>
    <t>Atlantic Zenith</t>
  </si>
  <si>
    <t>HL-T157K-9</t>
  </si>
  <si>
    <t>LAKE LUGU</t>
  </si>
  <si>
    <t>CMA CGM INTERLAGOS</t>
  </si>
  <si>
    <t>CMIZ-E260705</t>
  </si>
  <si>
    <t>CMA CGM HOPE</t>
  </si>
  <si>
    <t>CMA CGM ASTER</t>
  </si>
  <si>
    <t>MOUNT TAI</t>
  </si>
  <si>
    <t>MOUNT EIGER</t>
  </si>
  <si>
    <t>Atlantic Jasper</t>
  </si>
  <si>
    <t>CMA CGM SILVERSTONE</t>
  </si>
  <si>
    <t>CMA CGM CASTELLET</t>
  </si>
  <si>
    <t>CMA CGM UNITY</t>
  </si>
  <si>
    <t>CMA CGM BOUGAINVILLEA</t>
  </si>
  <si>
    <t>MOUNT COOK</t>
  </si>
  <si>
    <t>MOUNT FITZ ROY</t>
  </si>
  <si>
    <t>Atlantic Lapis</t>
  </si>
  <si>
    <t>LAKE QARAOUN</t>
  </si>
  <si>
    <t>LAKE EMERALD</t>
  </si>
  <si>
    <t>CMA CGM DIGNITY</t>
  </si>
  <si>
    <t>CMA CGM FOXGLOVE</t>
  </si>
  <si>
    <t>MOUNT HENG</t>
  </si>
  <si>
    <t>MOUNT NIMBA</t>
  </si>
  <si>
    <t>Atlantic Opal</t>
  </si>
  <si>
    <t>CMA CGM MONZA</t>
  </si>
  <si>
    <t>LAKE KARIBA</t>
  </si>
  <si>
    <t>CMA CGM INTEGRITY</t>
  </si>
  <si>
    <t>CMA CGM PANSY</t>
  </si>
  <si>
    <t>MOUNT GOWER</t>
  </si>
  <si>
    <t>MOUNT SIMANDOU</t>
  </si>
  <si>
    <t>Atlantic Platinum</t>
  </si>
  <si>
    <t>LAKE SHIRASAGI</t>
  </si>
  <si>
    <t>LAKE LOMOND</t>
  </si>
  <si>
    <t>CMA CGM LIBERTY</t>
  </si>
  <si>
    <t>CMA CGM PEONY</t>
  </si>
  <si>
    <t>MOUNT OSSA</t>
  </si>
  <si>
    <t>Atlantic Quartz</t>
  </si>
  <si>
    <t>LAKE TAZAWA</t>
  </si>
  <si>
    <t>LAKE ESRUM</t>
  </si>
  <si>
    <t>CMA CGM PRIDE</t>
  </si>
  <si>
    <t>CMA CGM PETUNIA</t>
  </si>
  <si>
    <t>Atlantic Sunstone</t>
  </si>
  <si>
    <t>LAKE SAINT ANNE</t>
  </si>
  <si>
    <t>LAKE JAMNO</t>
  </si>
  <si>
    <t>LAKE TRAVIS</t>
  </si>
  <si>
    <t xml:space="preserve">LAKE VICTORIA </t>
  </si>
  <si>
    <t>Working on</t>
  </si>
  <si>
    <t>Submitted</t>
  </si>
  <si>
    <t>Sold</t>
  </si>
  <si>
    <t>LAKE VILLARICA</t>
  </si>
  <si>
    <t>LAKE CARRERA</t>
  </si>
  <si>
    <t xml:space="preserve">LAKE WAKATIPU </t>
  </si>
  <si>
    <t xml:space="preserve">LAKE ROTORUA </t>
  </si>
  <si>
    <t>LNG App Launched</t>
  </si>
  <si>
    <t>In Operation</t>
  </si>
  <si>
    <t>Under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</si>
</sst>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i/>
      <sz val="14"/>
      <color theme="1"/>
      <name val="Calibri"/>
      <family val="2"/>
    </font>
    <font>
      <strike/>
      <sz val="9"/>
      <color rgb="FF000000"/>
      <name val="Calibri"/>
      <family val="2"/>
    </font>
    <font>
      <strike/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 readingOrder="1"/>
    </xf>
    <xf numFmtId="0" fontId="1" fillId="6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 readingOrder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 readingOrder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 readingOrder="1"/>
    </xf>
    <xf numFmtId="0" fontId="1" fillId="8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4CFC-51CA-4212-A63F-27C960CBDD01}">
  <dimension ref="A1:S24"/>
  <sheetViews>
    <sheetView tabSelected="1" topLeftCell="A3" workbookViewId="0">
      <selection activeCell="O22" sqref="O22"/>
    </sheetView>
  </sheetViews>
  <sheetFormatPr defaultColWidth="9.140625" defaultRowHeight="12"/>
  <cols>
    <col min="1" max="1" width="14.85546875" style="1" customWidth="1"/>
    <col min="2" max="17" width="10.7109375" style="13" customWidth="1"/>
    <col min="18" max="19" width="11" style="14" customWidth="1"/>
    <col min="20" max="16384" width="9.140625" style="1"/>
  </cols>
  <sheetData>
    <row r="1" spans="2:17" ht="25.5" customHeight="1">
      <c r="B1" s="48" t="s">
        <v>0</v>
      </c>
      <c r="C1" s="48"/>
      <c r="D1" s="48"/>
      <c r="E1" s="48"/>
      <c r="F1" s="48"/>
      <c r="G1" s="48" t="s">
        <v>1</v>
      </c>
      <c r="H1" s="48"/>
      <c r="I1" s="48"/>
      <c r="J1" s="48" t="s">
        <v>2</v>
      </c>
      <c r="K1" s="48"/>
      <c r="L1" s="48"/>
      <c r="M1" s="48"/>
      <c r="N1" s="48"/>
      <c r="O1" s="48" t="s">
        <v>3</v>
      </c>
      <c r="P1" s="48"/>
      <c r="Q1" s="48"/>
    </row>
    <row r="2" spans="2:17" ht="24">
      <c r="B2" s="23" t="s">
        <v>4</v>
      </c>
      <c r="C2" s="24" t="s">
        <v>5</v>
      </c>
      <c r="D2" s="24" t="s">
        <v>6</v>
      </c>
      <c r="E2" s="26" t="s">
        <v>7</v>
      </c>
      <c r="F2" s="26" t="s">
        <v>8</v>
      </c>
      <c r="G2" s="24" t="s">
        <v>9</v>
      </c>
      <c r="H2" s="24" t="s">
        <v>10</v>
      </c>
      <c r="I2" s="24" t="s">
        <v>11</v>
      </c>
      <c r="J2" s="24" t="s">
        <v>12</v>
      </c>
      <c r="K2" s="24" t="s">
        <v>13</v>
      </c>
      <c r="L2" s="24" t="s">
        <v>14</v>
      </c>
      <c r="M2" s="24" t="s">
        <v>15</v>
      </c>
      <c r="N2" s="24" t="s">
        <v>16</v>
      </c>
      <c r="O2" s="24" t="s">
        <v>17</v>
      </c>
      <c r="P2" s="26" t="s">
        <v>18</v>
      </c>
      <c r="Q2" s="26" t="s">
        <v>17</v>
      </c>
    </row>
    <row r="3" spans="2:17" ht="24" customHeight="1">
      <c r="B3" s="4" t="s">
        <v>19</v>
      </c>
      <c r="C3" s="32" t="s">
        <v>20</v>
      </c>
      <c r="D3" s="15" t="s">
        <v>21</v>
      </c>
      <c r="E3" s="11" t="s">
        <v>22</v>
      </c>
      <c r="F3" s="8" t="s">
        <v>23</v>
      </c>
      <c r="G3" s="5" t="s">
        <v>24</v>
      </c>
      <c r="H3" s="6" t="s">
        <v>25</v>
      </c>
      <c r="I3" s="41" t="s">
        <v>26</v>
      </c>
      <c r="J3" s="27" t="s">
        <v>27</v>
      </c>
      <c r="K3" s="15" t="s">
        <v>28</v>
      </c>
      <c r="L3" s="15" t="s">
        <v>29</v>
      </c>
      <c r="M3" s="36" t="s">
        <v>30</v>
      </c>
      <c r="N3" s="38" t="s">
        <v>31</v>
      </c>
      <c r="O3" s="31" t="s">
        <v>32</v>
      </c>
      <c r="P3" s="8" t="s">
        <v>33</v>
      </c>
      <c r="Q3" s="35" t="s">
        <v>34</v>
      </c>
    </row>
    <row r="4" spans="2:17" ht="24" customHeight="1">
      <c r="B4" s="4" t="s">
        <v>35</v>
      </c>
      <c r="C4" s="15" t="s">
        <v>36</v>
      </c>
      <c r="D4" s="15" t="s">
        <v>37</v>
      </c>
      <c r="E4" s="40" t="s">
        <v>38</v>
      </c>
      <c r="F4" s="8" t="s">
        <v>39</v>
      </c>
      <c r="G4" s="9" t="s">
        <v>40</v>
      </c>
      <c r="H4" s="6" t="s">
        <v>41</v>
      </c>
      <c r="I4" s="45" t="s">
        <v>42</v>
      </c>
      <c r="J4" s="27" t="s">
        <v>43</v>
      </c>
      <c r="K4" s="15" t="s">
        <v>44</v>
      </c>
      <c r="L4" s="29" t="s">
        <v>45</v>
      </c>
      <c r="M4" s="37" t="s">
        <v>46</v>
      </c>
      <c r="N4" s="39" t="s">
        <v>47</v>
      </c>
      <c r="O4" s="31" t="s">
        <v>48</v>
      </c>
      <c r="P4" s="8" t="s">
        <v>49</v>
      </c>
      <c r="Q4" s="35" t="s">
        <v>50</v>
      </c>
    </row>
    <row r="5" spans="2:17" ht="24" customHeight="1">
      <c r="B5" s="4" t="s">
        <v>51</v>
      </c>
      <c r="C5" s="33" t="s">
        <v>52</v>
      </c>
      <c r="D5" s="25" t="s">
        <v>53</v>
      </c>
      <c r="E5" s="3" t="s">
        <v>54</v>
      </c>
      <c r="F5" s="8" t="s">
        <v>55</v>
      </c>
      <c r="H5" s="6" t="s">
        <v>56</v>
      </c>
      <c r="I5" s="45" t="s">
        <v>57</v>
      </c>
      <c r="K5" s="15" t="s">
        <v>58</v>
      </c>
      <c r="M5" s="43" t="s">
        <v>59</v>
      </c>
      <c r="N5" s="8" t="s">
        <v>60</v>
      </c>
      <c r="O5" s="31" t="s">
        <v>61</v>
      </c>
      <c r="P5" s="8" t="s">
        <v>62</v>
      </c>
      <c r="Q5" s="35" t="s">
        <v>63</v>
      </c>
    </row>
    <row r="6" spans="2:17" ht="24" customHeight="1">
      <c r="B6" s="7" t="s">
        <v>64</v>
      </c>
      <c r="D6" s="15" t="s">
        <v>65</v>
      </c>
      <c r="E6" s="40" t="s">
        <v>66</v>
      </c>
      <c r="F6" s="8" t="s">
        <v>67</v>
      </c>
      <c r="H6" s="6" t="s">
        <v>68</v>
      </c>
      <c r="I6" s="10" t="s">
        <v>69</v>
      </c>
      <c r="K6" s="15" t="s">
        <v>70</v>
      </c>
      <c r="N6" s="8" t="s">
        <v>71</v>
      </c>
      <c r="O6" s="30" t="s">
        <v>72</v>
      </c>
      <c r="P6" s="8" t="s">
        <v>73</v>
      </c>
      <c r="Q6" s="35" t="s">
        <v>74</v>
      </c>
    </row>
    <row r="7" spans="2:17" ht="24" customHeight="1">
      <c r="B7" s="7" t="s">
        <v>75</v>
      </c>
      <c r="F7" s="8" t="s">
        <v>76</v>
      </c>
      <c r="H7" s="6" t="s">
        <v>77</v>
      </c>
      <c r="I7" s="10" t="s">
        <v>78</v>
      </c>
      <c r="K7" s="42" t="s">
        <v>79</v>
      </c>
      <c r="N7" s="8" t="s">
        <v>80</v>
      </c>
      <c r="O7" s="31" t="s">
        <v>81</v>
      </c>
      <c r="P7" s="8" t="s">
        <v>82</v>
      </c>
      <c r="Q7" s="35" t="s">
        <v>83</v>
      </c>
    </row>
    <row r="8" spans="2:17" ht="24" customHeight="1">
      <c r="B8" s="7" t="s">
        <v>84</v>
      </c>
      <c r="F8" s="8" t="s">
        <v>85</v>
      </c>
      <c r="H8" s="6" t="s">
        <v>86</v>
      </c>
      <c r="I8" s="10" t="s">
        <v>87</v>
      </c>
      <c r="K8" s="32" t="s">
        <v>88</v>
      </c>
      <c r="N8" s="8" t="s">
        <v>89</v>
      </c>
      <c r="O8" s="30" t="s">
        <v>90</v>
      </c>
      <c r="P8" s="8" t="s">
        <v>91</v>
      </c>
      <c r="Q8" s="35" t="s">
        <v>92</v>
      </c>
    </row>
    <row r="9" spans="2:17" ht="24" customHeight="1">
      <c r="B9" s="15" t="s">
        <v>93</v>
      </c>
      <c r="F9" s="8" t="s">
        <v>94</v>
      </c>
      <c r="H9" s="6" t="s">
        <v>95</v>
      </c>
      <c r="I9" s="10" t="s">
        <v>96</v>
      </c>
      <c r="K9" s="8" t="s">
        <v>97</v>
      </c>
      <c r="O9" s="31" t="s">
        <v>98</v>
      </c>
      <c r="P9" s="8" t="s">
        <v>99</v>
      </c>
    </row>
    <row r="10" spans="2:17" ht="24" customHeight="1">
      <c r="B10" s="7" t="s">
        <v>100</v>
      </c>
      <c r="F10" s="8" t="s">
        <v>101</v>
      </c>
      <c r="H10" s="6" t="s">
        <v>102</v>
      </c>
      <c r="I10" s="10" t="s">
        <v>103</v>
      </c>
      <c r="K10" s="8" t="s">
        <v>104</v>
      </c>
      <c r="O10" s="28" t="s">
        <v>105</v>
      </c>
      <c r="P10" s="8" t="s">
        <v>106</v>
      </c>
    </row>
    <row r="11" spans="2:17" ht="24" customHeight="1">
      <c r="B11" s="7" t="s">
        <v>107</v>
      </c>
      <c r="F11" s="8" t="s">
        <v>108</v>
      </c>
      <c r="H11" s="6" t="s">
        <v>109</v>
      </c>
      <c r="I11" s="10" t="s">
        <v>110</v>
      </c>
      <c r="K11" s="8" t="s">
        <v>111</v>
      </c>
      <c r="O11" s="28" t="s">
        <v>112</v>
      </c>
      <c r="P11" s="8" t="s">
        <v>113</v>
      </c>
    </row>
    <row r="12" spans="2:17" ht="24" customHeight="1">
      <c r="B12" s="7" t="s">
        <v>114</v>
      </c>
      <c r="F12" s="8" t="s">
        <v>115</v>
      </c>
      <c r="H12" s="6" t="s">
        <v>116</v>
      </c>
      <c r="I12" s="10" t="s">
        <v>117</v>
      </c>
      <c r="K12" s="8" t="s">
        <v>118</v>
      </c>
      <c r="O12" s="28" t="s">
        <v>119</v>
      </c>
      <c r="P12" s="8" t="s">
        <v>120</v>
      </c>
    </row>
    <row r="13" spans="2:17" ht="24" customHeight="1">
      <c r="B13" s="7" t="s">
        <v>121</v>
      </c>
      <c r="F13" s="8" t="s">
        <v>122</v>
      </c>
      <c r="H13" s="6" t="s">
        <v>123</v>
      </c>
      <c r="I13" s="12"/>
      <c r="K13" s="8" t="s">
        <v>124</v>
      </c>
      <c r="O13" s="28" t="s">
        <v>125</v>
      </c>
      <c r="P13" s="8" t="s">
        <v>126</v>
      </c>
    </row>
    <row r="14" spans="2:17" ht="24" customHeight="1">
      <c r="B14" s="7" t="s">
        <v>127</v>
      </c>
      <c r="F14" s="8" t="s">
        <v>128</v>
      </c>
      <c r="K14" s="8" t="s">
        <v>129</v>
      </c>
      <c r="O14" s="25" t="s">
        <v>130</v>
      </c>
      <c r="P14" s="8" t="s">
        <v>131</v>
      </c>
    </row>
    <row r="15" spans="2:17" ht="24" customHeight="1">
      <c r="O15" s="46" t="s">
        <v>132</v>
      </c>
    </row>
    <row r="16" spans="2:17" ht="24" customHeight="1">
      <c r="O16" s="25" t="s">
        <v>133</v>
      </c>
    </row>
    <row r="17" spans="1:19" ht="24" customHeight="1">
      <c r="C17" s="34" t="s">
        <v>134</v>
      </c>
      <c r="D17" s="44" t="s">
        <v>135</v>
      </c>
      <c r="E17" s="47" t="s">
        <v>136</v>
      </c>
      <c r="O17" s="25" t="s">
        <v>137</v>
      </c>
    </row>
    <row r="18" spans="1:19" ht="24" customHeight="1">
      <c r="O18" s="25" t="s">
        <v>138</v>
      </c>
    </row>
    <row r="19" spans="1:19" ht="24" customHeight="1">
      <c r="O19" s="25" t="s">
        <v>139</v>
      </c>
    </row>
    <row r="20" spans="1:19" ht="24" customHeight="1">
      <c r="O20" s="25" t="s">
        <v>140</v>
      </c>
    </row>
    <row r="21" spans="1:19" ht="24" customHeight="1">
      <c r="O21" s="20"/>
    </row>
    <row r="22" spans="1:19" ht="28.5" customHeight="1">
      <c r="A22" s="22" t="s">
        <v>141</v>
      </c>
      <c r="B22" s="16">
        <v>1</v>
      </c>
      <c r="C22" s="16">
        <v>1</v>
      </c>
      <c r="D22" s="16">
        <v>4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2</v>
      </c>
      <c r="K22" s="16">
        <v>4</v>
      </c>
      <c r="L22" s="16">
        <v>2</v>
      </c>
      <c r="M22" s="16">
        <v>2</v>
      </c>
      <c r="N22" s="16">
        <v>0</v>
      </c>
      <c r="O22" s="17">
        <v>17</v>
      </c>
      <c r="P22" s="16">
        <v>0</v>
      </c>
      <c r="Q22" s="16">
        <v>0</v>
      </c>
      <c r="R22" s="18">
        <f>SUM(B22:Q22)</f>
        <v>33</v>
      </c>
      <c r="S22" s="19"/>
    </row>
    <row r="23" spans="1:19" ht="28.5" customHeight="1">
      <c r="A23" s="2" t="s">
        <v>142</v>
      </c>
      <c r="B23" s="16">
        <v>12</v>
      </c>
      <c r="C23" s="16">
        <v>3</v>
      </c>
      <c r="D23" s="16">
        <v>4</v>
      </c>
      <c r="E23" s="16"/>
      <c r="F23" s="16"/>
      <c r="G23" s="16">
        <v>2</v>
      </c>
      <c r="H23" s="16">
        <v>11</v>
      </c>
      <c r="I23" s="16">
        <v>3</v>
      </c>
      <c r="J23" s="16">
        <v>2</v>
      </c>
      <c r="K23" s="16">
        <v>6</v>
      </c>
      <c r="L23" s="16">
        <v>2</v>
      </c>
      <c r="M23" s="16">
        <v>3</v>
      </c>
      <c r="N23" s="16">
        <v>0</v>
      </c>
      <c r="O23" s="16">
        <v>17</v>
      </c>
      <c r="P23" s="16"/>
      <c r="Q23" s="16"/>
      <c r="R23" s="18">
        <f>SUM(B23:Q23)</f>
        <v>65</v>
      </c>
      <c r="S23" s="49">
        <f>R23+R24</f>
        <v>117</v>
      </c>
    </row>
    <row r="24" spans="1:19" ht="28.5" customHeight="1">
      <c r="A24" s="21" t="s">
        <v>143</v>
      </c>
      <c r="B24" s="16"/>
      <c r="C24" s="16"/>
      <c r="D24" s="16"/>
      <c r="E24" s="16">
        <v>2</v>
      </c>
      <c r="F24" s="16">
        <v>12</v>
      </c>
      <c r="G24" s="16"/>
      <c r="H24" s="16"/>
      <c r="I24" s="16">
        <v>7</v>
      </c>
      <c r="J24" s="16"/>
      <c r="K24" s="16">
        <v>7</v>
      </c>
      <c r="L24" s="16"/>
      <c r="M24" s="16"/>
      <c r="N24" s="16">
        <v>6</v>
      </c>
      <c r="O24" s="16"/>
      <c r="P24" s="16">
        <v>12</v>
      </c>
      <c r="Q24" s="16">
        <v>6</v>
      </c>
      <c r="R24" s="18">
        <f>SUM(B24:Q24)</f>
        <v>52</v>
      </c>
      <c r="S24" s="49"/>
    </row>
  </sheetData>
  <mergeCells count="5">
    <mergeCell ref="J1:N1"/>
    <mergeCell ref="G1:I1"/>
    <mergeCell ref="B1:F1"/>
    <mergeCell ref="S23:S24"/>
    <mergeCell ref="O1:Q1"/>
  </mergeCells>
  <conditionalFormatting sqref="B22:Q22">
    <cfRule type="expression" dxfId="0" priority="1">
      <formula>B22&lt;B23</formula>
    </cfRule>
  </conditionalFormatting>
  <dataValidations count="1">
    <dataValidation allowBlank="1" showInputMessage="1" showErrorMessage="1" sqref="C3:E5" xr:uid="{7638CE71-A57B-4D54-86ED-CD866AEFCE3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Han Seung</dc:creator>
  <cp:keywords/>
  <dc:description/>
  <cp:lastModifiedBy/>
  <cp:revision/>
  <dcterms:created xsi:type="dcterms:W3CDTF">2026-04-21T05:44:27Z</dcterms:created>
  <dcterms:modified xsi:type="dcterms:W3CDTF">2026-09-07T10:21:34Z</dcterms:modified>
  <cp:category/>
  <cp:contentStatus/>
</cp:coreProperties>
</file>